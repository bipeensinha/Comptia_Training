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Inventory" sheetId="1" state="visible" r:id="rId1"/>
    <sheet xmlns:r="http://schemas.openxmlformats.org/officeDocument/2006/relationships" name="Inventory Summary" sheetId="2" state="visible" r:id="rId2"/>
    <sheet xmlns:r="http://schemas.openxmlformats.org/officeDocument/2006/relationships" name="Change Log" sheetId="3" state="visible" r:id="rId3"/>
  </sheets>
  <definedNames>
    <definedName name="_xlnm._FilterDatabase" localSheetId="0" hidden="1">'Network Inventory'!$A$1:$V$14</definedName>
    <definedName name="_xlnm.Print_Titles" localSheetId="0">'Network Inventory'!$1:$1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20"/>
    </font>
    <font>
      <i val="1"/>
      <color rgb="00666666"/>
    </font>
    <font>
      <b val="1"/>
      <color rgb="0017365D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etworkInventoryTable" displayName="NetworkInventoryTable" ref="A1:V14" headerRowCount="1">
  <autoFilter ref="A1:V14"/>
  <tableColumns count="22">
    <tableColumn id="1" name="Asset ID"/>
    <tableColumn id="2" name="Device Type"/>
    <tableColumn id="3" name="Hostname"/>
    <tableColumn id="4" name="Vendor"/>
    <tableColumn id="5" name="Model"/>
    <tableColumn id="6" name="Serial Number"/>
    <tableColumn id="7" name="Site"/>
    <tableColumn id="8" name="Building / Floor"/>
    <tableColumn id="9" name="Room"/>
    <tableColumn id="10" name="Rack / U"/>
    <tableColumn id="11" name="Management IP"/>
    <tableColumn id="12" name="VLAN"/>
    <tableColumn id="13" name="MAC Address"/>
    <tableColumn id="14" name="Port Count"/>
    <tableColumn id="15" name="Role"/>
    <tableColumn id="16" name="Firmware / OS"/>
    <tableColumn id="17" name="Status"/>
    <tableColumn id="18" name="Owner / Team"/>
    <tableColumn id="19" name="Purchase Date"/>
    <tableColumn id="20" name="Warranty End"/>
    <tableColumn id="21" name="Last Audit"/>
    <tableColumn id="2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ngeLogTable" displayName="ChangeLogTable" ref="A1:J4" headerRowCount="1">
  <autoFilter ref="A1:J4"/>
  <tableColumns count="10">
    <tableColumn id="1" name="Change ID"/>
    <tableColumn id="2" name="Date"/>
    <tableColumn id="3" name="Asset ID"/>
    <tableColumn id="4" name="Hostname"/>
    <tableColumn id="5" name="Change Type"/>
    <tableColumn id="6" name="Description"/>
    <tableColumn id="7" name="Requested By"/>
    <tableColumn id="8" name="Approved By"/>
    <tableColumn id="9" name="Rollback Plan"/>
    <tableColumn id="10" name="Statu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3" customWidth="1" min="4" max="4"/>
    <col width="22" customWidth="1" min="5" max="5"/>
    <col width="20" customWidth="1" min="6" max="6"/>
    <col width="12" customWidth="1" min="7" max="7"/>
    <col width="17" customWidth="1" min="8" max="8"/>
    <col width="18" customWidth="1" min="9" max="9"/>
    <col width="18" customWidth="1" min="10" max="10"/>
    <col width="16" customWidth="1" min="11" max="11"/>
    <col width="9" customWidth="1" min="12" max="12"/>
    <col width="21" customWidth="1" min="13" max="13"/>
    <col width="12" customWidth="1" min="14" max="14"/>
    <col width="23" customWidth="1" min="15" max="15"/>
    <col width="20" customWidth="1" min="16" max="16"/>
    <col width="14" customWidth="1" min="17" max="17"/>
    <col width="23" customWidth="1" min="18" max="18"/>
    <col width="15" customWidth="1" min="19" max="19"/>
    <col width="15" customWidth="1" min="20" max="20"/>
    <col width="15" customWidth="1" min="21" max="21"/>
    <col width="30" customWidth="1" min="22" max="22"/>
  </cols>
  <sheetData>
    <row r="1" ht="34" customHeight="1">
      <c r="A1" s="1" t="inlineStr">
        <is>
          <t>Asset ID</t>
        </is>
      </c>
      <c r="B1" s="1" t="inlineStr">
        <is>
          <t>Device Type</t>
        </is>
      </c>
      <c r="C1" s="1" t="inlineStr">
        <is>
          <t>Hostname</t>
        </is>
      </c>
      <c r="D1" s="1" t="inlineStr">
        <is>
          <t>Vendor</t>
        </is>
      </c>
      <c r="E1" s="1" t="inlineStr">
        <is>
          <t>Model</t>
        </is>
      </c>
      <c r="F1" s="1" t="inlineStr">
        <is>
          <t>Serial Number</t>
        </is>
      </c>
      <c r="G1" s="1" t="inlineStr">
        <is>
          <t>Site</t>
        </is>
      </c>
      <c r="H1" s="1" t="inlineStr">
        <is>
          <t>Building / Floor</t>
        </is>
      </c>
      <c r="I1" s="1" t="inlineStr">
        <is>
          <t>Room</t>
        </is>
      </c>
      <c r="J1" s="1" t="inlineStr">
        <is>
          <t>Rack / U</t>
        </is>
      </c>
      <c r="K1" s="1" t="inlineStr">
        <is>
          <t>Management IP</t>
        </is>
      </c>
      <c r="L1" s="1" t="inlineStr">
        <is>
          <t>VLAN</t>
        </is>
      </c>
      <c r="M1" s="1" t="inlineStr">
        <is>
          <t>MAC Address</t>
        </is>
      </c>
      <c r="N1" s="1" t="inlineStr">
        <is>
          <t>Port Count</t>
        </is>
      </c>
      <c r="O1" s="1" t="inlineStr">
        <is>
          <t>Role</t>
        </is>
      </c>
      <c r="P1" s="1" t="inlineStr">
        <is>
          <t>Firmware / OS</t>
        </is>
      </c>
      <c r="Q1" s="1" t="inlineStr">
        <is>
          <t>Status</t>
        </is>
      </c>
      <c r="R1" s="1" t="inlineStr">
        <is>
          <t>Owner / Team</t>
        </is>
      </c>
      <c r="S1" s="1" t="inlineStr">
        <is>
          <t>Purchase Date</t>
        </is>
      </c>
      <c r="T1" s="1" t="inlineStr">
        <is>
          <t>Warranty End</t>
        </is>
      </c>
      <c r="U1" s="1" t="inlineStr">
        <is>
          <t>Last Audit</t>
        </is>
      </c>
      <c r="V1" s="1" t="inlineStr">
        <is>
          <t>Notes</t>
        </is>
      </c>
    </row>
    <row r="2">
      <c r="A2" s="2" t="inlineStr">
        <is>
          <t>NET-RTR-001</t>
        </is>
      </c>
      <c r="B2" s="2" t="inlineStr">
        <is>
          <t>Router</t>
        </is>
      </c>
      <c r="C2" s="2" t="inlineStr">
        <is>
          <t>RTR-HQ-01</t>
        </is>
      </c>
      <c r="D2" s="2" t="inlineStr">
        <is>
          <t>Cisco</t>
        </is>
      </c>
      <c r="E2" s="2" t="inlineStr">
        <is>
          <t>ISR 4331</t>
        </is>
      </c>
      <c r="F2" s="2" t="inlineStr">
        <is>
          <t>FCZ2412A1AB</t>
        </is>
      </c>
      <c r="G2" s="2" t="inlineStr">
        <is>
          <t>HQ</t>
        </is>
      </c>
      <c r="H2" s="2" t="inlineStr">
        <is>
          <t>Floor 2</t>
        </is>
      </c>
      <c r="I2" s="2" t="inlineStr">
        <is>
          <t>Network Room</t>
        </is>
      </c>
      <c r="J2" s="2" t="inlineStr">
        <is>
          <t>Rack 01 / U01-U02</t>
        </is>
      </c>
      <c r="K2" s="2" t="inlineStr">
        <is>
          <t>10.10.99.1</t>
        </is>
      </c>
      <c r="L2" s="2" t="n">
        <v>99</v>
      </c>
      <c r="M2" s="2" t="inlineStr">
        <is>
          <t>00:25:84:AA:10:01</t>
        </is>
      </c>
      <c r="N2" s="2" t="n">
        <v>3</v>
      </c>
      <c r="O2" s="2" t="inlineStr">
        <is>
          <t>Internet Edge</t>
        </is>
      </c>
      <c r="P2" s="2" t="inlineStr">
        <is>
          <t>IOS XE 17.9</t>
        </is>
      </c>
      <c r="Q2" s="2" t="inlineStr">
        <is>
          <t>Active</t>
        </is>
      </c>
      <c r="R2" s="2" t="inlineStr">
        <is>
          <t>Network Operations</t>
        </is>
      </c>
      <c r="S2" s="3" t="n">
        <v>45031</v>
      </c>
      <c r="T2" s="3" t="n">
        <v>46857</v>
      </c>
      <c r="U2" s="3" t="n">
        <v>46254</v>
      </c>
      <c r="V2" s="2" t="inlineStr">
        <is>
          <t>Primary WAN gateway</t>
        </is>
      </c>
    </row>
    <row r="3">
      <c r="A3" s="2" t="inlineStr">
        <is>
          <t>NET-FW-001</t>
        </is>
      </c>
      <c r="B3" s="2" t="inlineStr">
        <is>
          <t>Firewall</t>
        </is>
      </c>
      <c r="C3" s="2" t="inlineStr">
        <is>
          <t>FW-HQ-01</t>
        </is>
      </c>
      <c r="D3" s="2" t="inlineStr">
        <is>
          <t>Fortinet</t>
        </is>
      </c>
      <c r="E3" s="2" t="inlineStr">
        <is>
          <t>FortiGate 100F</t>
        </is>
      </c>
      <c r="F3" s="2" t="inlineStr">
        <is>
          <t>FG100FTK23001234</t>
        </is>
      </c>
      <c r="G3" s="2" t="inlineStr">
        <is>
          <t>HQ</t>
        </is>
      </c>
      <c r="H3" s="2" t="inlineStr">
        <is>
          <t>Floor 2</t>
        </is>
      </c>
      <c r="I3" s="2" t="inlineStr">
        <is>
          <t>Network Room</t>
        </is>
      </c>
      <c r="J3" s="2" t="inlineStr">
        <is>
          <t>Rack 01 / U03-U04</t>
        </is>
      </c>
      <c r="K3" s="2" t="inlineStr">
        <is>
          <t>10.10.99.2</t>
        </is>
      </c>
      <c r="L3" s="2" t="n">
        <v>99</v>
      </c>
      <c r="M3" s="2" t="inlineStr">
        <is>
          <t>00:09:0F:AA:10:02</t>
        </is>
      </c>
      <c r="N3" s="2" t="n">
        <v>28</v>
      </c>
      <c r="O3" s="2" t="inlineStr">
        <is>
          <t>Perimeter Security</t>
        </is>
      </c>
      <c r="P3" s="2" t="inlineStr">
        <is>
          <t>FortiOS 7.4</t>
        </is>
      </c>
      <c r="Q3" s="2" t="inlineStr">
        <is>
          <t>Active</t>
        </is>
      </c>
      <c r="R3" s="2" t="inlineStr">
        <is>
          <t>Network Security</t>
        </is>
      </c>
      <c r="S3" s="3" t="n">
        <v>45056</v>
      </c>
      <c r="T3" s="3" t="n">
        <v>46882</v>
      </c>
      <c r="U3" s="3" t="n">
        <v>46254</v>
      </c>
      <c r="V3" s="2" t="inlineStr">
        <is>
          <t>HA pair member A</t>
        </is>
      </c>
    </row>
    <row r="4">
      <c r="A4" s="2" t="inlineStr">
        <is>
          <t>NET-FW-002</t>
        </is>
      </c>
      <c r="B4" s="2" t="inlineStr">
        <is>
          <t>Firewall</t>
        </is>
      </c>
      <c r="C4" s="2" t="inlineStr">
        <is>
          <t>FW-HQ-02</t>
        </is>
      </c>
      <c r="D4" s="2" t="inlineStr">
        <is>
          <t>Fortinet</t>
        </is>
      </c>
      <c r="E4" s="2" t="inlineStr">
        <is>
          <t>FortiGate 100F</t>
        </is>
      </c>
      <c r="F4" s="2" t="inlineStr">
        <is>
          <t>FG100FTK23005678</t>
        </is>
      </c>
      <c r="G4" s="2" t="inlineStr">
        <is>
          <t>HQ</t>
        </is>
      </c>
      <c r="H4" s="2" t="inlineStr">
        <is>
          <t>Floor 2</t>
        </is>
      </c>
      <c r="I4" s="2" t="inlineStr">
        <is>
          <t>Network Room</t>
        </is>
      </c>
      <c r="J4" s="2" t="inlineStr">
        <is>
          <t>Rack 01 / U05-U06</t>
        </is>
      </c>
      <c r="K4" s="2" t="inlineStr">
        <is>
          <t>10.10.99.3</t>
        </is>
      </c>
      <c r="L4" s="2" t="n">
        <v>99</v>
      </c>
      <c r="M4" s="2" t="inlineStr">
        <is>
          <t>00:09:0F:AA:10:03</t>
        </is>
      </c>
      <c r="N4" s="2" t="n">
        <v>28</v>
      </c>
      <c r="O4" s="2" t="inlineStr">
        <is>
          <t>Perimeter Security</t>
        </is>
      </c>
      <c r="P4" s="2" t="inlineStr">
        <is>
          <t>FortiOS 7.4</t>
        </is>
      </c>
      <c r="Q4" s="2" t="inlineStr">
        <is>
          <t>Active</t>
        </is>
      </c>
      <c r="R4" s="2" t="inlineStr">
        <is>
          <t>Network Security</t>
        </is>
      </c>
      <c r="S4" s="3" t="n">
        <v>45056</v>
      </c>
      <c r="T4" s="3" t="n">
        <v>46882</v>
      </c>
      <c r="U4" s="3" t="n">
        <v>46254</v>
      </c>
      <c r="V4" s="2" t="inlineStr">
        <is>
          <t>HA pair member B</t>
        </is>
      </c>
    </row>
    <row r="5">
      <c r="A5" s="2" t="inlineStr">
        <is>
          <t>NET-SW-001</t>
        </is>
      </c>
      <c r="B5" s="2" t="inlineStr">
        <is>
          <t>Core Switch</t>
        </is>
      </c>
      <c r="C5" s="2" t="inlineStr">
        <is>
          <t>SW-CORE-01</t>
        </is>
      </c>
      <c r="D5" s="2" t="inlineStr">
        <is>
          <t>Cisco</t>
        </is>
      </c>
      <c r="E5" s="2" t="inlineStr">
        <is>
          <t>Catalyst 9300</t>
        </is>
      </c>
      <c r="F5" s="2" t="inlineStr">
        <is>
          <t>FCW2501X001</t>
        </is>
      </c>
      <c r="G5" s="2" t="inlineStr">
        <is>
          <t>HQ</t>
        </is>
      </c>
      <c r="H5" s="2" t="inlineStr">
        <is>
          <t>Floor 2</t>
        </is>
      </c>
      <c r="I5" s="2" t="inlineStr">
        <is>
          <t>Network Room</t>
        </is>
      </c>
      <c r="J5" s="2" t="inlineStr">
        <is>
          <t>Rack 01 / U07-U08</t>
        </is>
      </c>
      <c r="K5" s="2" t="inlineStr">
        <is>
          <t>10.10.99.10</t>
        </is>
      </c>
      <c r="L5" s="2" t="n">
        <v>99</v>
      </c>
      <c r="M5" s="2" t="inlineStr">
        <is>
          <t>00:1B:54:AA:20:01</t>
        </is>
      </c>
      <c r="N5" s="2" t="n">
        <v>48</v>
      </c>
      <c r="O5" s="2" t="inlineStr">
        <is>
          <t>Core / L3 Switching</t>
        </is>
      </c>
      <c r="P5" s="2" t="inlineStr">
        <is>
          <t>IOS XE 17.9</t>
        </is>
      </c>
      <c r="Q5" s="2" t="inlineStr">
        <is>
          <t>Active</t>
        </is>
      </c>
      <c r="R5" s="2" t="inlineStr">
        <is>
          <t>Network Operations</t>
        </is>
      </c>
      <c r="S5" s="3" t="n">
        <v>45303</v>
      </c>
      <c r="T5" s="3" t="n">
        <v>47129</v>
      </c>
      <c r="U5" s="3" t="n">
        <v>46254</v>
      </c>
      <c r="V5" s="2" t="inlineStr">
        <is>
          <t>SVIs for internal VLANs</t>
        </is>
      </c>
    </row>
    <row r="6">
      <c r="A6" s="2" t="inlineStr">
        <is>
          <t>NET-SW-002</t>
        </is>
      </c>
      <c r="B6" s="2" t="inlineStr">
        <is>
          <t>Access Switch</t>
        </is>
      </c>
      <c r="C6" s="2" t="inlineStr">
        <is>
          <t>SW-ACC-01</t>
        </is>
      </c>
      <c r="D6" s="2" t="inlineStr">
        <is>
          <t>Cisco</t>
        </is>
      </c>
      <c r="E6" s="2" t="inlineStr">
        <is>
          <t>Catalyst 9200</t>
        </is>
      </c>
      <c r="F6" s="2" t="inlineStr">
        <is>
          <t>FCW2501X101</t>
        </is>
      </c>
      <c r="G6" s="2" t="inlineStr">
        <is>
          <t>HQ</t>
        </is>
      </c>
      <c r="H6" s="2" t="inlineStr">
        <is>
          <t>Floor 1</t>
        </is>
      </c>
      <c r="I6" s="2" t="inlineStr">
        <is>
          <t>IDF-01</t>
        </is>
      </c>
      <c r="J6" s="2" t="inlineStr">
        <is>
          <t>Rack 02 / U01-U02</t>
        </is>
      </c>
      <c r="K6" s="2" t="inlineStr">
        <is>
          <t>10.10.99.21</t>
        </is>
      </c>
      <c r="L6" s="2" t="n">
        <v>99</v>
      </c>
      <c r="M6" s="2" t="inlineStr">
        <is>
          <t>00:1B:54:AA:21:01</t>
        </is>
      </c>
      <c r="N6" s="2" t="n">
        <v>48</v>
      </c>
      <c r="O6" s="2" t="inlineStr">
        <is>
          <t>User Access</t>
        </is>
      </c>
      <c r="P6" s="2" t="inlineStr">
        <is>
          <t>IOS XE 17.9</t>
        </is>
      </c>
      <c r="Q6" s="2" t="inlineStr">
        <is>
          <t>Active</t>
        </is>
      </c>
      <c r="R6" s="2" t="inlineStr">
        <is>
          <t>Network Operations</t>
        </is>
      </c>
      <c r="S6" s="3" t="n">
        <v>45324</v>
      </c>
      <c r="T6" s="3" t="n">
        <v>47150</v>
      </c>
      <c r="U6" s="3" t="n">
        <v>46254</v>
      </c>
      <c r="V6" s="2" t="inlineStr">
        <is>
          <t>48-port PoE</t>
        </is>
      </c>
    </row>
    <row r="7">
      <c r="A7" s="2" t="inlineStr">
        <is>
          <t>NET-SW-003</t>
        </is>
      </c>
      <c r="B7" s="2" t="inlineStr">
        <is>
          <t>Access Switch</t>
        </is>
      </c>
      <c r="C7" s="2" t="inlineStr">
        <is>
          <t>SW-ACC-02</t>
        </is>
      </c>
      <c r="D7" s="2" t="inlineStr">
        <is>
          <t>Cisco</t>
        </is>
      </c>
      <c r="E7" s="2" t="inlineStr">
        <is>
          <t>Catalyst 9200</t>
        </is>
      </c>
      <c r="F7" s="2" t="inlineStr">
        <is>
          <t>FCW2501X102</t>
        </is>
      </c>
      <c r="G7" s="2" t="inlineStr">
        <is>
          <t>HQ</t>
        </is>
      </c>
      <c r="H7" s="2" t="inlineStr">
        <is>
          <t>Floor 1</t>
        </is>
      </c>
      <c r="I7" s="2" t="inlineStr">
        <is>
          <t>IDF-02</t>
        </is>
      </c>
      <c r="J7" s="2" t="inlineStr">
        <is>
          <t>Rack 03 / U01-U02</t>
        </is>
      </c>
      <c r="K7" s="2" t="inlineStr">
        <is>
          <t>10.10.99.22</t>
        </is>
      </c>
      <c r="L7" s="2" t="n">
        <v>99</v>
      </c>
      <c r="M7" s="2" t="inlineStr">
        <is>
          <t>00:1B:54:AA:21:02</t>
        </is>
      </c>
      <c r="N7" s="2" t="n">
        <v>48</v>
      </c>
      <c r="O7" s="2" t="inlineStr">
        <is>
          <t>User Access</t>
        </is>
      </c>
      <c r="P7" s="2" t="inlineStr">
        <is>
          <t>IOS XE 17.9</t>
        </is>
      </c>
      <c r="Q7" s="2" t="inlineStr">
        <is>
          <t>Active</t>
        </is>
      </c>
      <c r="R7" s="2" t="inlineStr">
        <is>
          <t>Network Operations</t>
        </is>
      </c>
      <c r="S7" s="3" t="n">
        <v>45324</v>
      </c>
      <c r="T7" s="3" t="n">
        <v>47150</v>
      </c>
      <c r="U7" s="3" t="n">
        <v>46254</v>
      </c>
      <c r="V7" s="2" t="inlineStr">
        <is>
          <t>48-port PoE</t>
        </is>
      </c>
    </row>
    <row r="8">
      <c r="A8" s="2" t="inlineStr">
        <is>
          <t>NET-AP-001</t>
        </is>
      </c>
      <c r="B8" s="2" t="inlineStr">
        <is>
          <t>Access Point</t>
        </is>
      </c>
      <c r="C8" s="2" t="inlineStr">
        <is>
          <t>AP-HQ-01</t>
        </is>
      </c>
      <c r="D8" s="2" t="inlineStr">
        <is>
          <t>Cisco</t>
        </is>
      </c>
      <c r="E8" s="2" t="inlineStr">
        <is>
          <t>Catalyst 9115AX</t>
        </is>
      </c>
      <c r="F8" s="2" t="inlineStr">
        <is>
          <t>FCW2510AP001</t>
        </is>
      </c>
      <c r="G8" s="2" t="inlineStr">
        <is>
          <t>HQ</t>
        </is>
      </c>
      <c r="H8" s="2" t="inlineStr">
        <is>
          <t>Floor 1</t>
        </is>
      </c>
      <c r="I8" s="2" t="inlineStr">
        <is>
          <t>Open Office</t>
        </is>
      </c>
      <c r="J8" s="2" t="inlineStr">
        <is>
          <t>Ceiling</t>
        </is>
      </c>
      <c r="K8" s="2" t="inlineStr">
        <is>
          <t>10.10.60.21</t>
        </is>
      </c>
      <c r="L8" s="2" t="n">
        <v>60</v>
      </c>
      <c r="M8" s="2" t="inlineStr">
        <is>
          <t>00:1B:54:AA:60:01</t>
        </is>
      </c>
      <c r="N8" s="2" t="n">
        <v>1</v>
      </c>
      <c r="O8" s="2" t="inlineStr">
        <is>
          <t>Corporate Wi-Fi</t>
        </is>
      </c>
      <c r="P8" s="2" t="inlineStr">
        <is>
          <t>17.9.4</t>
        </is>
      </c>
      <c r="Q8" s="2" t="inlineStr">
        <is>
          <t>Active</t>
        </is>
      </c>
      <c r="R8" s="2" t="inlineStr">
        <is>
          <t>Network Operations</t>
        </is>
      </c>
      <c r="S8" s="3" t="n">
        <v>45369</v>
      </c>
      <c r="T8" s="3" t="n">
        <v>47194</v>
      </c>
      <c r="U8" s="3" t="n">
        <v>46254</v>
      </c>
      <c r="V8" s="2" t="inlineStr">
        <is>
          <t>SSID: CORP-WIFI</t>
        </is>
      </c>
    </row>
    <row r="9">
      <c r="A9" s="2" t="inlineStr">
        <is>
          <t>NET-AP-002</t>
        </is>
      </c>
      <c r="B9" s="2" t="inlineStr">
        <is>
          <t>Access Point</t>
        </is>
      </c>
      <c r="C9" s="2" t="inlineStr">
        <is>
          <t>AP-HQ-02</t>
        </is>
      </c>
      <c r="D9" s="2" t="inlineStr">
        <is>
          <t>Cisco</t>
        </is>
      </c>
      <c r="E9" s="2" t="inlineStr">
        <is>
          <t>Catalyst 9115AX</t>
        </is>
      </c>
      <c r="F9" s="2" t="inlineStr">
        <is>
          <t>FCW2510AP002</t>
        </is>
      </c>
      <c r="G9" s="2" t="inlineStr">
        <is>
          <t>HQ</t>
        </is>
      </c>
      <c r="H9" s="2" t="inlineStr">
        <is>
          <t>Floor 2</t>
        </is>
      </c>
      <c r="I9" s="2" t="inlineStr">
        <is>
          <t>Conference Area</t>
        </is>
      </c>
      <c r="J9" s="2" t="inlineStr">
        <is>
          <t>Ceiling</t>
        </is>
      </c>
      <c r="K9" s="2" t="inlineStr">
        <is>
          <t>10.10.60.22</t>
        </is>
      </c>
      <c r="L9" s="2" t="n">
        <v>60</v>
      </c>
      <c r="M9" s="2" t="inlineStr">
        <is>
          <t>00:1B:54:AA:60:02</t>
        </is>
      </c>
      <c r="N9" s="2" t="n">
        <v>1</v>
      </c>
      <c r="O9" s="2" t="inlineStr">
        <is>
          <t>Corporate Wi-Fi</t>
        </is>
      </c>
      <c r="P9" s="2" t="inlineStr">
        <is>
          <t>17.9.4</t>
        </is>
      </c>
      <c r="Q9" s="2" t="inlineStr">
        <is>
          <t>Active</t>
        </is>
      </c>
      <c r="R9" s="2" t="inlineStr">
        <is>
          <t>Network Operations</t>
        </is>
      </c>
      <c r="S9" s="3" t="n">
        <v>45369</v>
      </c>
      <c r="T9" s="3" t="n">
        <v>47194</v>
      </c>
      <c r="U9" s="3" t="n">
        <v>46254</v>
      </c>
      <c r="V9" s="2" t="inlineStr">
        <is>
          <t>SSID: CORP-WIFI</t>
        </is>
      </c>
    </row>
    <row r="10">
      <c r="A10" s="2" t="inlineStr">
        <is>
          <t>NET-SRV-001</t>
        </is>
      </c>
      <c r="B10" s="2" t="inlineStr">
        <is>
          <t>Server</t>
        </is>
      </c>
      <c r="C10" s="2" t="inlineStr">
        <is>
          <t>SRV-DNS-01</t>
        </is>
      </c>
      <c r="D10" s="2" t="inlineStr">
        <is>
          <t>Dell</t>
        </is>
      </c>
      <c r="E10" s="2" t="inlineStr">
        <is>
          <t>PowerEdge R650</t>
        </is>
      </c>
      <c r="F10" s="2" t="inlineStr">
        <is>
          <t>DNY650DNS001</t>
        </is>
      </c>
      <c r="G10" s="2" t="inlineStr">
        <is>
          <t>HQ</t>
        </is>
      </c>
      <c r="H10" s="2" t="inlineStr">
        <is>
          <t>Floor 2</t>
        </is>
      </c>
      <c r="I10" s="2" t="inlineStr">
        <is>
          <t>Server Room</t>
        </is>
      </c>
      <c r="J10" s="2" t="inlineStr">
        <is>
          <t>Rack 04 / U01-U02</t>
        </is>
      </c>
      <c r="K10" s="2" t="inlineStr">
        <is>
          <t>10.10.30.10</t>
        </is>
      </c>
      <c r="L10" s="2" t="n">
        <v>30</v>
      </c>
      <c r="M10" s="2" t="inlineStr">
        <is>
          <t>B8:CA:3A:AA:30:01</t>
        </is>
      </c>
      <c r="N10" s="2" t="n">
        <v>4</v>
      </c>
      <c r="O10" s="2" t="inlineStr">
        <is>
          <t>DNS / Infrastructure</t>
        </is>
      </c>
      <c r="P10" s="2" t="inlineStr">
        <is>
          <t>Windows Server 2022</t>
        </is>
      </c>
      <c r="Q10" s="2" t="inlineStr">
        <is>
          <t>Active</t>
        </is>
      </c>
      <c r="R10" s="2" t="inlineStr">
        <is>
          <t>Infrastructure</t>
        </is>
      </c>
      <c r="S10" s="3" t="n">
        <v>45170</v>
      </c>
      <c r="T10" s="3" t="n">
        <v>46996</v>
      </c>
      <c r="U10" s="3" t="n">
        <v>46254</v>
      </c>
      <c r="V10" s="2" t="inlineStr">
        <is>
          <t>Primary internal DNS</t>
        </is>
      </c>
    </row>
    <row r="11">
      <c r="A11" s="2" t="inlineStr">
        <is>
          <t>NET-SRV-002</t>
        </is>
      </c>
      <c r="B11" s="2" t="inlineStr">
        <is>
          <t>Server</t>
        </is>
      </c>
      <c r="C11" s="2" t="inlineStr">
        <is>
          <t>SRV-DHCP-01</t>
        </is>
      </c>
      <c r="D11" s="2" t="inlineStr">
        <is>
          <t>Dell</t>
        </is>
      </c>
      <c r="E11" s="2" t="inlineStr">
        <is>
          <t>PowerEdge R650</t>
        </is>
      </c>
      <c r="F11" s="2" t="inlineStr">
        <is>
          <t>DNY650DHC002</t>
        </is>
      </c>
      <c r="G11" s="2" t="inlineStr">
        <is>
          <t>HQ</t>
        </is>
      </c>
      <c r="H11" s="2" t="inlineStr">
        <is>
          <t>Floor 2</t>
        </is>
      </c>
      <c r="I11" s="2" t="inlineStr">
        <is>
          <t>Server Room</t>
        </is>
      </c>
      <c r="J11" s="2" t="inlineStr">
        <is>
          <t>Rack 04 / U03-U04</t>
        </is>
      </c>
      <c r="K11" s="2" t="inlineStr">
        <is>
          <t>10.10.30.11</t>
        </is>
      </c>
      <c r="L11" s="2" t="n">
        <v>30</v>
      </c>
      <c r="M11" s="2" t="inlineStr">
        <is>
          <t>B8:CA:3A:AA:30:02</t>
        </is>
      </c>
      <c r="N11" s="2" t="n">
        <v>4</v>
      </c>
      <c r="O11" s="2" t="inlineStr">
        <is>
          <t>DHCP / Infrastructure</t>
        </is>
      </c>
      <c r="P11" s="2" t="inlineStr">
        <is>
          <t>Windows Server 2022</t>
        </is>
      </c>
      <c r="Q11" s="2" t="inlineStr">
        <is>
          <t>Active</t>
        </is>
      </c>
      <c r="R11" s="2" t="inlineStr">
        <is>
          <t>Infrastructure</t>
        </is>
      </c>
      <c r="S11" s="3" t="n">
        <v>45170</v>
      </c>
      <c r="T11" s="3" t="n">
        <v>46996</v>
      </c>
      <c r="U11" s="3" t="n">
        <v>46254</v>
      </c>
      <c r="V11" s="2" t="inlineStr">
        <is>
          <t>DHCP scopes for user VLANs</t>
        </is>
      </c>
    </row>
    <row r="12">
      <c r="A12" s="2" t="inlineStr">
        <is>
          <t>NET-PRN-001</t>
        </is>
      </c>
      <c r="B12" s="2" t="inlineStr">
        <is>
          <t>Printer</t>
        </is>
      </c>
      <c r="C12" s="2" t="inlineStr">
        <is>
          <t>PRN-F1-01</t>
        </is>
      </c>
      <c r="D12" s="2" t="inlineStr">
        <is>
          <t>HP</t>
        </is>
      </c>
      <c r="E12" s="2" t="inlineStr">
        <is>
          <t>LaserJet Enterprise</t>
        </is>
      </c>
      <c r="F12" s="2" t="inlineStr">
        <is>
          <t>CNB12345PRN01</t>
        </is>
      </c>
      <c r="G12" s="2" t="inlineStr">
        <is>
          <t>HQ</t>
        </is>
      </c>
      <c r="H12" s="2" t="inlineStr">
        <is>
          <t>Floor 1</t>
        </is>
      </c>
      <c r="I12" s="2" t="inlineStr">
        <is>
          <t>Print Area</t>
        </is>
      </c>
      <c r="J12" s="2" t="inlineStr">
        <is>
          <t>N/A</t>
        </is>
      </c>
      <c r="K12" s="2" t="inlineStr">
        <is>
          <t>10.10.40.51</t>
        </is>
      </c>
      <c r="L12" s="2" t="n">
        <v>40</v>
      </c>
      <c r="M12" s="2" t="inlineStr">
        <is>
          <t>3C:52:82:AA:40:01</t>
        </is>
      </c>
      <c r="N12" s="2" t="n">
        <v>1</v>
      </c>
      <c r="O12" s="2" t="inlineStr">
        <is>
          <t>Network Printer</t>
        </is>
      </c>
      <c r="P12" s="2" t="inlineStr">
        <is>
          <t>Firmware 6.2</t>
        </is>
      </c>
      <c r="Q12" s="2" t="inlineStr">
        <is>
          <t>Active</t>
        </is>
      </c>
      <c r="R12" s="2" t="inlineStr">
        <is>
          <t>End User Computing</t>
        </is>
      </c>
      <c r="S12" s="3" t="n">
        <v>45448</v>
      </c>
      <c r="T12" s="3" t="n">
        <v>46542</v>
      </c>
      <c r="U12" s="3" t="n">
        <v>46254</v>
      </c>
      <c r="V12" s="2" t="inlineStr">
        <is>
          <t>Static IP</t>
        </is>
      </c>
    </row>
    <row r="13">
      <c r="A13" s="2" t="inlineStr">
        <is>
          <t>NET-UPS-001</t>
        </is>
      </c>
      <c r="B13" s="2" t="inlineStr">
        <is>
          <t>UPS</t>
        </is>
      </c>
      <c r="C13" s="2" t="inlineStr">
        <is>
          <t>UPS-HQ-01</t>
        </is>
      </c>
      <c r="D13" s="2" t="inlineStr">
        <is>
          <t>APC</t>
        </is>
      </c>
      <c r="E13" s="2" t="inlineStr">
        <is>
          <t>Smart-UPS 3000</t>
        </is>
      </c>
      <c r="F13" s="2" t="inlineStr">
        <is>
          <t>AS3000HQ001</t>
        </is>
      </c>
      <c r="G13" s="2" t="inlineStr">
        <is>
          <t>HQ</t>
        </is>
      </c>
      <c r="H13" s="2" t="inlineStr">
        <is>
          <t>Floor 2</t>
        </is>
      </c>
      <c r="I13" s="2" t="inlineStr">
        <is>
          <t>Network Room</t>
        </is>
      </c>
      <c r="J13" s="2" t="inlineStr">
        <is>
          <t>Rack 01 / U09-U12</t>
        </is>
      </c>
      <c r="K13" s="2" t="inlineStr">
        <is>
          <t>10.10.99.50</t>
        </is>
      </c>
      <c r="L13" s="2" t="n">
        <v>99</v>
      </c>
      <c r="M13" s="2" t="inlineStr">
        <is>
          <t>00:C0:B7:AA:50:01</t>
        </is>
      </c>
      <c r="N13" s="2" t="n">
        <v>8</v>
      </c>
      <c r="O13" s="2" t="inlineStr">
        <is>
          <t>Power Protection</t>
        </is>
      </c>
      <c r="P13" s="2" t="inlineStr">
        <is>
          <t>Firmware 15.1</t>
        </is>
      </c>
      <c r="Q13" s="2" t="inlineStr">
        <is>
          <t>Active</t>
        </is>
      </c>
      <c r="R13" s="2" t="inlineStr">
        <is>
          <t>Facilities / IT</t>
        </is>
      </c>
      <c r="S13" s="3" t="n">
        <v>45097</v>
      </c>
      <c r="T13" s="3" t="n">
        <v>46923</v>
      </c>
      <c r="U13" s="3" t="n">
        <v>46254</v>
      </c>
      <c r="V13" s="2" t="inlineStr">
        <is>
          <t>Supports network rack</t>
        </is>
      </c>
    </row>
    <row r="14">
      <c r="A14" s="4" t="inlineStr">
        <is>
          <t>NET-SW-004</t>
        </is>
      </c>
      <c r="B14" s="4" t="inlineStr">
        <is>
          <t>Access Switch</t>
        </is>
      </c>
      <c r="C14" s="4" t="inlineStr">
        <is>
          <t>SW-OLD-01</t>
        </is>
      </c>
      <c r="D14" s="4" t="inlineStr">
        <is>
          <t>Cisco</t>
        </is>
      </c>
      <c r="E14" s="4" t="inlineStr">
        <is>
          <t>Catalyst 2960X</t>
        </is>
      </c>
      <c r="F14" s="4" t="inlineStr">
        <is>
          <t>FOCOLD0001</t>
        </is>
      </c>
      <c r="G14" s="4" t="inlineStr">
        <is>
          <t>HQ</t>
        </is>
      </c>
      <c r="H14" s="4" t="inlineStr">
        <is>
          <t>Floor 1</t>
        </is>
      </c>
      <c r="I14" s="4" t="inlineStr">
        <is>
          <t>IDF-03</t>
        </is>
      </c>
      <c r="J14" s="4" t="inlineStr">
        <is>
          <t>Rack 05 / U01-U02</t>
        </is>
      </c>
      <c r="K14" s="4" t="inlineStr">
        <is>
          <t>10.10.99.23</t>
        </is>
      </c>
      <c r="L14" s="4" t="n">
        <v>99</v>
      </c>
      <c r="M14" s="4" t="inlineStr">
        <is>
          <t>00:1B:54:AA:21:99</t>
        </is>
      </c>
      <c r="N14" s="4" t="n">
        <v>48</v>
      </c>
      <c r="O14" s="4" t="inlineStr">
        <is>
          <t>User Access</t>
        </is>
      </c>
      <c r="P14" s="4" t="inlineStr">
        <is>
          <t>IOS 15.2</t>
        </is>
      </c>
      <c r="Q14" s="4" t="inlineStr">
        <is>
          <t>Retiring</t>
        </is>
      </c>
      <c r="R14" s="4" t="inlineStr">
        <is>
          <t>Network Operations</t>
        </is>
      </c>
      <c r="S14" s="5" t="n">
        <v>43141</v>
      </c>
      <c r="T14" s="5" t="n">
        <v>44966</v>
      </c>
      <c r="U14" s="5" t="n">
        <v>46254</v>
      </c>
      <c r="V14" s="4" t="inlineStr">
        <is>
          <t>Replacement scheduled</t>
        </is>
      </c>
    </row>
  </sheetData>
  <autoFilter ref="A1:V14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4" max="4"/>
    <col width="24" customWidth="1" min="5" max="5"/>
  </cols>
  <sheetData>
    <row r="1">
      <c r="A1" s="6" t="inlineStr">
        <is>
          <t>NETWORK DEVICE INVENTORY</t>
        </is>
      </c>
    </row>
    <row r="2">
      <c r="A2" s="7" t="inlineStr">
        <is>
          <t>Sample enterprise inventory — classroom / lab example</t>
        </is>
      </c>
    </row>
    <row r="4">
      <c r="A4" s="8" t="inlineStr">
        <is>
          <t>Total Assets</t>
        </is>
      </c>
      <c r="B4" s="9">
        <f>COUNTA('Network Inventory'!A2:A14)</f>
        <v/>
      </c>
      <c r="D4" s="10" t="inlineStr">
        <is>
          <t>Recommended inventory fields</t>
        </is>
      </c>
    </row>
    <row r="5">
      <c r="A5" s="8" t="inlineStr">
        <is>
          <t>Active</t>
        </is>
      </c>
      <c r="B5" s="9">
        <f>COUNTIF('Network Inventory'!Q2:Q14,"Active")</f>
        <v/>
      </c>
      <c r="D5" t="inlineStr">
        <is>
          <t>• Asset ID</t>
        </is>
      </c>
    </row>
    <row r="6">
      <c r="A6" s="8" t="inlineStr">
        <is>
          <t>Retiring</t>
        </is>
      </c>
      <c r="B6" s="9">
        <f>COUNTIF('Network Inventory'!Q2:Q14,"Retiring")</f>
        <v/>
      </c>
      <c r="D6" t="inlineStr">
        <is>
          <t>• Hostname</t>
        </is>
      </c>
    </row>
    <row r="7">
      <c r="A7" s="8" t="inlineStr">
        <is>
          <t>Routers</t>
        </is>
      </c>
      <c r="B7" s="9">
        <f>COUNTIF('Network Inventory'!B2:B14,"Router")</f>
        <v/>
      </c>
      <c r="D7" t="inlineStr">
        <is>
          <t>• Device type</t>
        </is>
      </c>
    </row>
    <row r="8">
      <c r="A8" s="8" t="inlineStr">
        <is>
          <t>Firewalls</t>
        </is>
      </c>
      <c r="B8" s="9">
        <f>COUNTIF('Network Inventory'!B2:B14,"Firewall")</f>
        <v/>
      </c>
      <c r="D8" t="inlineStr">
        <is>
          <t>• Location</t>
        </is>
      </c>
    </row>
    <row r="9">
      <c r="A9" s="8" t="inlineStr">
        <is>
          <t>Switches</t>
        </is>
      </c>
      <c r="B9" s="9">
        <f>COUNTIF('Network Inventory'!B2:B14,"*Switch")</f>
        <v/>
      </c>
      <c r="D9" t="inlineStr">
        <is>
          <t>• Management IP</t>
        </is>
      </c>
    </row>
    <row r="10">
      <c r="A10" s="8" t="inlineStr">
        <is>
          <t>Access Points</t>
        </is>
      </c>
      <c r="B10" s="9">
        <f>COUNTIF('Network Inventory'!B2:B14,"Access Point")</f>
        <v/>
      </c>
      <c r="D10" t="inlineStr">
        <is>
          <t>• VLAN</t>
        </is>
      </c>
    </row>
    <row r="11">
      <c r="A11" s="8" t="inlineStr">
        <is>
          <t>Servers</t>
        </is>
      </c>
      <c r="B11" s="9">
        <f>COUNTIF('Network Inventory'!B2:B14,"Server")</f>
        <v/>
      </c>
      <c r="D11" t="inlineStr">
        <is>
          <t>• Serial number</t>
        </is>
      </c>
    </row>
    <row r="12">
      <c r="D12" t="inlineStr">
        <is>
          <t>• Firmware / OS</t>
        </is>
      </c>
    </row>
    <row r="13">
      <c r="D13" t="inlineStr">
        <is>
          <t>• Status</t>
        </is>
      </c>
    </row>
    <row r="14">
      <c r="D14" t="inlineStr">
        <is>
          <t>• Owner</t>
        </is>
      </c>
    </row>
    <row r="15">
      <c r="D15" t="inlineStr">
        <is>
          <t>• Warranty</t>
        </is>
      </c>
    </row>
    <row r="16">
      <c r="D16" t="inlineStr">
        <is>
          <t>• Notes</t>
        </is>
      </c>
    </row>
    <row r="18">
      <c r="D18" s="10" t="inlineStr">
        <is>
          <t>Training tip</t>
        </is>
      </c>
    </row>
    <row r="19">
      <c r="D19" t="inlineStr">
        <is>
          <t>Use the inventory to answer:</t>
        </is>
      </c>
    </row>
    <row r="20">
      <c r="D20" t="inlineStr">
        <is>
          <t>What do we have?</t>
        </is>
      </c>
    </row>
    <row r="21">
      <c r="D21" t="inlineStr">
        <is>
          <t>Where is it?</t>
        </is>
      </c>
    </row>
    <row r="22">
      <c r="D22" t="inlineStr">
        <is>
          <t>How do we manage it?</t>
        </is>
      </c>
    </row>
    <row r="23">
      <c r="D23" t="inlineStr">
        <is>
          <t>Who owns it?</t>
        </is>
      </c>
    </row>
    <row r="24">
      <c r="D24" t="inlineStr">
        <is>
          <t>What changed?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8" customWidth="1" min="4" max="4"/>
    <col width="18" customWidth="1" min="5" max="5"/>
    <col width="42" customWidth="1" min="6" max="6"/>
    <col width="22" customWidth="1" min="7" max="7"/>
    <col width="22" customWidth="1" min="8" max="8"/>
    <col width="42" customWidth="1" min="9" max="9"/>
    <col width="16" customWidth="1" min="10" max="10"/>
  </cols>
  <sheetData>
    <row r="1">
      <c r="A1" s="11" t="inlineStr">
        <is>
          <t>Change ID</t>
        </is>
      </c>
      <c r="B1" s="11" t="inlineStr">
        <is>
          <t>Date</t>
        </is>
      </c>
      <c r="C1" s="11" t="inlineStr">
        <is>
          <t>Asset ID</t>
        </is>
      </c>
      <c r="D1" s="11" t="inlineStr">
        <is>
          <t>Hostname</t>
        </is>
      </c>
      <c r="E1" s="11" t="inlineStr">
        <is>
          <t>Change Type</t>
        </is>
      </c>
      <c r="F1" s="11" t="inlineStr">
        <is>
          <t>Description</t>
        </is>
      </c>
      <c r="G1" s="11" t="inlineStr">
        <is>
          <t>Requested By</t>
        </is>
      </c>
      <c r="H1" s="11" t="inlineStr">
        <is>
          <t>Approved By</t>
        </is>
      </c>
      <c r="I1" s="11" t="inlineStr">
        <is>
          <t>Rollback Plan</t>
        </is>
      </c>
      <c r="J1" s="11" t="inlineStr">
        <is>
          <t>Status</t>
        </is>
      </c>
    </row>
    <row r="2">
      <c r="A2" s="12" t="inlineStr">
        <is>
          <t>CHG-2026-081</t>
        </is>
      </c>
      <c r="B2" s="12" t="inlineStr">
        <is>
          <t>2026-08-12</t>
        </is>
      </c>
      <c r="C2" s="12" t="inlineStr">
        <is>
          <t>NET-SW-001</t>
        </is>
      </c>
      <c r="D2" s="12" t="inlineStr">
        <is>
          <t>SW-CORE-01</t>
        </is>
      </c>
      <c r="E2" s="12" t="inlineStr">
        <is>
          <t>VLAN</t>
        </is>
      </c>
      <c r="F2" s="12" t="inlineStr">
        <is>
          <t>Created VLAN 60 for corporate wireless</t>
        </is>
      </c>
      <c r="G2" s="12" t="inlineStr">
        <is>
          <t>Network Operations</t>
        </is>
      </c>
      <c r="H2" s="12" t="inlineStr">
        <is>
          <t>Change Manager</t>
        </is>
      </c>
      <c r="I2" s="12" t="inlineStr">
        <is>
          <t>Remove VLAN 60 and restore prior trunk configuration</t>
        </is>
      </c>
      <c r="J2" s="12" t="inlineStr">
        <is>
          <t>Completed</t>
        </is>
      </c>
    </row>
    <row r="3">
      <c r="A3" s="12" t="inlineStr">
        <is>
          <t>CHG-2026-082</t>
        </is>
      </c>
      <c r="B3" s="12" t="inlineStr">
        <is>
          <t>2026-08-15</t>
        </is>
      </c>
      <c r="C3" s="12" t="inlineStr">
        <is>
          <t>NET-AP-001</t>
        </is>
      </c>
      <c r="D3" s="12" t="inlineStr">
        <is>
          <t>AP-HQ-01</t>
        </is>
      </c>
      <c r="E3" s="12" t="inlineStr">
        <is>
          <t>Wireless</t>
        </is>
      </c>
      <c r="F3" s="12" t="inlineStr">
        <is>
          <t>Updated CORP-WIFI profile</t>
        </is>
      </c>
      <c r="G3" s="12" t="inlineStr">
        <is>
          <t>Network Operations</t>
        </is>
      </c>
      <c r="H3" s="12" t="inlineStr">
        <is>
          <t>Change Manager</t>
        </is>
      </c>
      <c r="I3" s="12" t="inlineStr">
        <is>
          <t>Restore previous WLAN profile</t>
        </is>
      </c>
      <c r="J3" s="12" t="inlineStr">
        <is>
          <t>Completed</t>
        </is>
      </c>
    </row>
    <row r="4">
      <c r="A4" s="12" t="inlineStr">
        <is>
          <t>CHG-2026-083</t>
        </is>
      </c>
      <c r="B4" s="12" t="inlineStr">
        <is>
          <t>2026-08-20</t>
        </is>
      </c>
      <c r="C4" s="12" t="inlineStr">
        <is>
          <t>NET-SW-004</t>
        </is>
      </c>
      <c r="D4" s="12" t="inlineStr">
        <is>
          <t>SW-OLD-01</t>
        </is>
      </c>
      <c r="E4" s="12" t="inlineStr">
        <is>
          <t>Hardware</t>
        </is>
      </c>
      <c r="F4" s="12" t="inlineStr">
        <is>
          <t>Marked switch for replacement</t>
        </is>
      </c>
      <c r="G4" s="12" t="inlineStr">
        <is>
          <t>Network Operations</t>
        </is>
      </c>
      <c r="H4" s="12" t="inlineStr">
        <is>
          <t>IT Manager</t>
        </is>
      </c>
      <c r="I4" s="12" t="inlineStr">
        <is>
          <t>Keep device in service until replacement installed</t>
        </is>
      </c>
      <c r="J4" s="12" t="inlineStr">
        <is>
          <t>Scheduled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2026-09-03T13:41:21Z</dcterms:created>
  <dcterms:modified xmlns:dcterms="http://purl.org/dc/terms/" xmlns:xsi="http://www.w3.org/2001/XMLSchema-instance" xsi:type="dcterms:W3CDTF">2026-09-03T13:41:21Z</dcterms:modified>
</cp:coreProperties>
</file>